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6b518c038ba368/Escritorio/Excel/"/>
    </mc:Choice>
  </mc:AlternateContent>
  <xr:revisionPtr revIDLastSave="6" documentId="13_ncr:1_{7EC38079-B626-4FEF-B437-9C02289B772B}" xr6:coauthVersionLast="47" xr6:coauthVersionMax="47" xr10:uidLastSave="{44FF4D3C-A7EA-4457-96ED-E72EF2000F39}"/>
  <bookViews>
    <workbookView xWindow="-120" yWindow="-120" windowWidth="20730" windowHeight="11160" xr2:uid="{5B3A0A79-7A68-4BB9-AEF6-D78591D6ED0F}"/>
  </bookViews>
  <sheets>
    <sheet name="Control de Stock" sheetId="3" r:id="rId1"/>
    <sheet name="Movimien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2" l="1"/>
  <c r="D5" i="2"/>
  <c r="E17" i="3"/>
  <c r="F17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2" i="3"/>
  <c r="E2" i="3"/>
  <c r="D2" i="2"/>
  <c r="D3" i="2"/>
  <c r="D4" i="2"/>
  <c r="G7" i="3" l="1"/>
  <c r="G17" i="3"/>
  <c r="G16" i="3"/>
  <c r="G12" i="3"/>
  <c r="G8" i="3"/>
  <c r="G6" i="3"/>
  <c r="G5" i="3"/>
  <c r="G4" i="3"/>
  <c r="G15" i="3"/>
  <c r="G11" i="3"/>
  <c r="G3" i="3"/>
  <c r="G9" i="3"/>
  <c r="G14" i="3"/>
  <c r="G10" i="3"/>
  <c r="G13" i="3"/>
  <c r="G2" i="3"/>
</calcChain>
</file>

<file path=xl/sharedStrings.xml><?xml version="1.0" encoding="utf-8"?>
<sst xmlns="http://schemas.openxmlformats.org/spreadsheetml/2006/main" count="60" uniqueCount="51">
  <si>
    <t>idPRODUCTO</t>
  </si>
  <si>
    <t>NOMBRE</t>
  </si>
  <si>
    <t>STOCK MÍNIMO</t>
  </si>
  <si>
    <t>ENTRADAS</t>
  </si>
  <si>
    <t>SALIDAS</t>
  </si>
  <si>
    <t>STOCK ACTUAL</t>
  </si>
  <si>
    <t>EXISTENCIAS INICIALES</t>
  </si>
  <si>
    <t>Ref0001</t>
  </si>
  <si>
    <t>Ref0002</t>
  </si>
  <si>
    <t>Ref0003</t>
  </si>
  <si>
    <t>Ref0004</t>
  </si>
  <si>
    <t>Ref0005</t>
  </si>
  <si>
    <t>Ref0006</t>
  </si>
  <si>
    <t>Ref0007</t>
  </si>
  <si>
    <t>Ref0008</t>
  </si>
  <si>
    <t>Ref0009</t>
  </si>
  <si>
    <t>Ref0010</t>
  </si>
  <si>
    <t>Ref0011</t>
  </si>
  <si>
    <t>Ref0012</t>
  </si>
  <si>
    <t>Ref0013</t>
  </si>
  <si>
    <t>Ref0014</t>
  </si>
  <si>
    <t>Mouse USB</t>
  </si>
  <si>
    <t>Teclado USB</t>
  </si>
  <si>
    <t>Monitor FHD</t>
  </si>
  <si>
    <t>WebCam USB</t>
  </si>
  <si>
    <t>Pad Mouse</t>
  </si>
  <si>
    <t>Diadema USB</t>
  </si>
  <si>
    <t>Memoria 8G</t>
  </si>
  <si>
    <t>Memoria 16G</t>
  </si>
  <si>
    <t>Cable HDMI</t>
  </si>
  <si>
    <t>Fuente 500W</t>
  </si>
  <si>
    <t>Fuente 750W</t>
  </si>
  <si>
    <t>Fuente 350W</t>
  </si>
  <si>
    <t>Monitor 4K</t>
  </si>
  <si>
    <t>Monitor HD</t>
  </si>
  <si>
    <t>id</t>
  </si>
  <si>
    <t>FECHA</t>
  </si>
  <si>
    <t>PRODUCTO</t>
  </si>
  <si>
    <t>MOVIMIENTO</t>
  </si>
  <si>
    <t>CANTIDAD</t>
  </si>
  <si>
    <t>FAC001</t>
  </si>
  <si>
    <t>Salida</t>
  </si>
  <si>
    <t>FAC002</t>
  </si>
  <si>
    <t>Entrada</t>
  </si>
  <si>
    <t>FAC003</t>
  </si>
  <si>
    <t>Ref0015</t>
  </si>
  <si>
    <t>Monitor 8K</t>
  </si>
  <si>
    <t>FAC004</t>
  </si>
  <si>
    <t>Ref0016</t>
  </si>
  <si>
    <t>Luz Led</t>
  </si>
  <si>
    <t>FAC005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</si>
</sst>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5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3" fillId="0" borderId="0" xfId="0" applyFont="1"/>
    <xf numFmtId="0" fontId="0" fillId="3" borderId="2" xfId="0" applyFont="1" applyFill="1" applyBorder="1"/>
    <xf numFmtId="0" fontId="0" fillId="0" borderId="2" xfId="0" applyFont="1" applyBorder="1"/>
    <xf numFmtId="0" fontId="1" fillId="2" borderId="0" xfId="0" applyFont="1" applyFill="1" applyBorder="1"/>
    <xf numFmtId="0" fontId="0" fillId="5" borderId="1" xfId="0" applyNumberFormat="1" applyFont="1" applyFill="1" applyBorder="1"/>
  </cellXfs>
  <cellStyles count="1">
    <cellStyle name="Normal" xfId="0" builtinId="0"/>
  </cellStyles>
  <dxfs count="20">
    <dxf>
      <font>
        <color theme="0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/mm/yy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F611B-FE4C-49DB-AB27-54375F66EB57}" name="Productos" displayName="Productos" ref="A1:G17" totalsRowShown="0" headerRowDxfId="1" dataDxfId="2" tableBorderDxfId="10">
  <autoFilter ref="A1:G17" xr:uid="{062F611B-FE4C-49DB-AB27-54375F66EB57}"/>
  <tableColumns count="7">
    <tableColumn id="1" xr3:uid="{E5C54EF8-4F93-41B7-97BB-DE9C4D7F050D}" name="idPRODUCTO" dataDxfId="9"/>
    <tableColumn id="2" xr3:uid="{C954D74E-E419-4DF4-AD7C-F02E44C706B2}" name="NOMBRE" dataDxfId="8"/>
    <tableColumn id="3" xr3:uid="{61FD56C4-85C2-467C-9A2E-62B6A4C2EA10}" name="EXISTENCIAS INICIALES" dataDxfId="7"/>
    <tableColumn id="4" xr3:uid="{D54E2CEF-BB17-44CE-9D1F-C84F2B4515B6}" name="STOCK MÍNIMO" dataDxfId="6"/>
    <tableColumn id="5" xr3:uid="{BD516570-8886-4CA6-99B7-CFFCFC4B4DF3}" name="ENTRADAS" dataDxfId="5">
      <calculatedColumnFormula>SUMIFS(Movimientos[CANTIDAD],Movimientos[PRODUCTO],'Control de Stock'!$A2,Movimientos[MOVIMIENTO],"Entrada")</calculatedColumnFormula>
    </tableColumn>
    <tableColumn id="6" xr3:uid="{FEC7B729-9074-4AF0-A08B-9E29A7C4D23D}" name="SALIDAS" dataDxfId="4">
      <calculatedColumnFormula>SUMIFS(Movimientos[CANTIDAD],Movimientos[PRODUCTO],'Control de Stock'!$A2,Movimientos[MOVIMIENTO],"Salida")</calculatedColumnFormula>
    </tableColumn>
    <tableColumn id="7" xr3:uid="{7A30CC94-69DD-4468-9DFE-65DADA8B99D7}" name="STOCK ACTUAL" dataDxfId="3">
      <calculatedColumnFormula>'Control de Stock'!$C2+'Control de Stock'!$E2-'Control de Stock'!$F2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BECE2-C50E-43DB-AEA0-7ACB26849E36}" name="Movimientos" displayName="Movimientos" ref="A1:F6" totalsRowShown="0" headerRowDxfId="12" dataDxfId="13" tableBorderDxfId="19">
  <autoFilter ref="A1:F6" xr:uid="{F92BECE2-C50E-43DB-AEA0-7ACB26849E36}"/>
  <tableColumns count="6">
    <tableColumn id="1" xr3:uid="{DF69DC42-86C3-47B6-A9E8-28568B7E4C1E}" name="id" dataDxfId="18"/>
    <tableColumn id="2" xr3:uid="{D90230F5-6DC2-42F4-9C30-A4182748D2DC}" name="FECHA" dataDxfId="17"/>
    <tableColumn id="3" xr3:uid="{86CD552F-07F5-4ED6-918D-FEB4883D21F1}" name="PRODUCTO" dataDxfId="16"/>
    <tableColumn id="4" xr3:uid="{CFB227B3-989A-4730-AE68-844F93B91541}" name="NOMBRE" dataDxfId="11">
      <calculatedColumnFormula>IFERROR(VLOOKUP(Movimientos[[#This Row],[PRODUCTO]],'Control de Stock'!$A$2:$G$19,2,0),"")</calculatedColumnFormula>
    </tableColumn>
    <tableColumn id="5" xr3:uid="{A70A230D-9122-466A-8C0E-5240607C9078}" name="MOVIMIENTO" dataDxfId="15"/>
    <tableColumn id="6" xr3:uid="{AD5C356C-766F-4D1F-A76F-82A8681DF04C}" name="CANTIDAD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16124-9604-4476-8F61-9D1FFCB216C2}">
  <dimension ref="A1:K21"/>
  <sheetViews>
    <sheetView tabSelected="1" zoomScaleNormal="100" workbookViewId="0">
      <selection activeCell="K17" sqref="K17"/>
    </sheetView>
  </sheetViews>
  <sheetFormatPr baseColWidth="10" defaultRowHeight="15" x14ac:dyDescent="0.25"/>
  <cols>
    <col min="1" max="1" width="14.85546875" customWidth="1"/>
    <col min="3" max="3" width="23.140625" customWidth="1"/>
    <col min="4" max="4" width="17" customWidth="1"/>
    <col min="5" max="5" width="12.5703125" customWidth="1"/>
    <col min="7" max="7" width="16.28515625" customWidth="1"/>
  </cols>
  <sheetData>
    <row r="1" spans="1:7" x14ac:dyDescent="0.25">
      <c r="A1" s="8" t="s">
        <v>0</v>
      </c>
      <c r="B1" s="8" t="s">
        <v>1</v>
      </c>
      <c r="C1" s="8" t="s">
        <v>6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25">
      <c r="A2" s="6" t="s">
        <v>7</v>
      </c>
      <c r="B2" s="6" t="s">
        <v>29</v>
      </c>
      <c r="C2" s="6">
        <v>25</v>
      </c>
      <c r="D2" s="6">
        <v>5</v>
      </c>
      <c r="E2" s="6">
        <f>SUMIFS(Movimientos[CANTIDAD],Movimientos[PRODUCTO],'Control de Stock'!$A2,Movimientos[MOVIMIENTO],"Entrada")</f>
        <v>0</v>
      </c>
      <c r="F2" s="6">
        <f>SUMIFS(Movimientos[CANTIDAD],Movimientos[PRODUCTO],'Control de Stock'!$A2,Movimientos[MOVIMIENTO],"Salida")</f>
        <v>0</v>
      </c>
      <c r="G2" s="6">
        <f>'Control de Stock'!$C2+'Control de Stock'!$E2-'Control de Stock'!$F2</f>
        <v>25</v>
      </c>
    </row>
    <row r="3" spans="1:7" x14ac:dyDescent="0.25">
      <c r="A3" s="7" t="s">
        <v>8</v>
      </c>
      <c r="B3" s="7" t="s">
        <v>26</v>
      </c>
      <c r="C3" s="7">
        <v>12</v>
      </c>
      <c r="D3" s="7">
        <v>10</v>
      </c>
      <c r="E3" s="6">
        <f>SUMIFS(Movimientos[CANTIDAD],Movimientos[PRODUCTO],'Control de Stock'!$A3,Movimientos[MOVIMIENTO],"Entrada")</f>
        <v>5</v>
      </c>
      <c r="F3" s="7">
        <f>SUMIFS(Movimientos[CANTIDAD],Movimientos[PRODUCTO],'Control de Stock'!$A3,Movimientos[MOVIMIENTO],"Salida")</f>
        <v>4</v>
      </c>
      <c r="G3" s="7">
        <f>'Control de Stock'!$C3+'Control de Stock'!$E3-'Control de Stock'!$F3</f>
        <v>13</v>
      </c>
    </row>
    <row r="4" spans="1:7" x14ac:dyDescent="0.25">
      <c r="A4" s="6" t="s">
        <v>9</v>
      </c>
      <c r="B4" s="6" t="s">
        <v>32</v>
      </c>
      <c r="C4" s="6">
        <v>15</v>
      </c>
      <c r="D4" s="6">
        <v>5</v>
      </c>
      <c r="E4" s="6">
        <f>SUMIFS(Movimientos[CANTIDAD],Movimientos[PRODUCTO],'Control de Stock'!$A4,Movimientos[MOVIMIENTO],"Entrada")</f>
        <v>0</v>
      </c>
      <c r="F4" s="6">
        <f>SUMIFS(Movimientos[CANTIDAD],Movimientos[PRODUCTO],'Control de Stock'!$A4,Movimientos[MOVIMIENTO],"Salida")</f>
        <v>11</v>
      </c>
      <c r="G4" s="6">
        <f>'Control de Stock'!$C4+'Control de Stock'!$E4-'Control de Stock'!$F4</f>
        <v>4</v>
      </c>
    </row>
    <row r="5" spans="1:7" x14ac:dyDescent="0.25">
      <c r="A5" s="7" t="s">
        <v>10</v>
      </c>
      <c r="B5" s="7" t="s">
        <v>30</v>
      </c>
      <c r="C5" s="7">
        <v>15</v>
      </c>
      <c r="D5" s="7">
        <v>5</v>
      </c>
      <c r="E5" s="6">
        <f>SUMIFS(Movimientos[CANTIDAD],Movimientos[PRODUCTO],'Control de Stock'!$A5,Movimientos[MOVIMIENTO],"Entrada")</f>
        <v>0</v>
      </c>
      <c r="F5" s="7">
        <f>SUMIFS(Movimientos[CANTIDAD],Movimientos[PRODUCTO],'Control de Stock'!$A5,Movimientos[MOVIMIENTO],"Salida")</f>
        <v>0</v>
      </c>
      <c r="G5" s="7">
        <f>'Control de Stock'!$C5+'Control de Stock'!$E5-'Control de Stock'!$F5</f>
        <v>15</v>
      </c>
    </row>
    <row r="6" spans="1:7" x14ac:dyDescent="0.25">
      <c r="A6" s="6" t="s">
        <v>11</v>
      </c>
      <c r="B6" s="6" t="s">
        <v>31</v>
      </c>
      <c r="C6" s="6">
        <v>15</v>
      </c>
      <c r="D6" s="6">
        <v>5</v>
      </c>
      <c r="E6" s="6">
        <f>SUMIFS(Movimientos[CANTIDAD],Movimientos[PRODUCTO],'Control de Stock'!$A6,Movimientos[MOVIMIENTO],"Entrada")</f>
        <v>0</v>
      </c>
      <c r="F6" s="6">
        <f>SUMIFS(Movimientos[CANTIDAD],Movimientos[PRODUCTO],'Control de Stock'!$A6,Movimientos[MOVIMIENTO],"Salida")</f>
        <v>0</v>
      </c>
      <c r="G6" s="6">
        <f>'Control de Stock'!$C6+'Control de Stock'!$E6-'Control de Stock'!$F6</f>
        <v>15</v>
      </c>
    </row>
    <row r="7" spans="1:7" x14ac:dyDescent="0.25">
      <c r="A7" s="7" t="s">
        <v>12</v>
      </c>
      <c r="B7" s="7" t="s">
        <v>28</v>
      </c>
      <c r="C7" s="7">
        <v>20</v>
      </c>
      <c r="D7" s="7">
        <v>10</v>
      </c>
      <c r="E7" s="6">
        <f>SUMIFS(Movimientos[CANTIDAD],Movimientos[PRODUCTO],'Control de Stock'!$A7,Movimientos[MOVIMIENTO],"Entrada")</f>
        <v>0</v>
      </c>
      <c r="F7" s="7">
        <f>SUMIFS(Movimientos[CANTIDAD],Movimientos[PRODUCTO],'Control de Stock'!$A7,Movimientos[MOVIMIENTO],"Salida")</f>
        <v>0</v>
      </c>
      <c r="G7" s="7">
        <f>'Control de Stock'!$C7+'Control de Stock'!$E7-'Control de Stock'!$F7</f>
        <v>20</v>
      </c>
    </row>
    <row r="8" spans="1:7" x14ac:dyDescent="0.25">
      <c r="A8" s="6" t="s">
        <v>13</v>
      </c>
      <c r="B8" s="6" t="s">
        <v>27</v>
      </c>
      <c r="C8" s="6">
        <v>20</v>
      </c>
      <c r="D8" s="6">
        <v>10</v>
      </c>
      <c r="E8" s="6">
        <f>SUMIFS(Movimientos[CANTIDAD],Movimientos[PRODUCTO],'Control de Stock'!$A8,Movimientos[MOVIMIENTO],"Entrada")</f>
        <v>0</v>
      </c>
      <c r="F8" s="6">
        <f>SUMIFS(Movimientos[CANTIDAD],Movimientos[PRODUCTO],'Control de Stock'!$A8,Movimientos[MOVIMIENTO],"Salida")</f>
        <v>0</v>
      </c>
      <c r="G8" s="6">
        <f>'Control de Stock'!$C8+'Control de Stock'!$E8-'Control de Stock'!$F8</f>
        <v>20</v>
      </c>
    </row>
    <row r="9" spans="1:7" x14ac:dyDescent="0.25">
      <c r="A9" s="7" t="s">
        <v>14</v>
      </c>
      <c r="B9" s="7" t="s">
        <v>33</v>
      </c>
      <c r="C9" s="7">
        <v>8</v>
      </c>
      <c r="D9" s="7">
        <v>3</v>
      </c>
      <c r="E9" s="6">
        <f>SUMIFS(Movimientos[CANTIDAD],Movimientos[PRODUCTO],'Control de Stock'!$A9,Movimientos[MOVIMIENTO],"Entrada")</f>
        <v>0</v>
      </c>
      <c r="F9" s="7">
        <f>SUMIFS(Movimientos[CANTIDAD],Movimientos[PRODUCTO],'Control de Stock'!$A9,Movimientos[MOVIMIENTO],"Salida")</f>
        <v>0</v>
      </c>
      <c r="G9" s="7">
        <f>'Control de Stock'!$C9+'Control de Stock'!$E9-'Control de Stock'!$F9</f>
        <v>8</v>
      </c>
    </row>
    <row r="10" spans="1:7" x14ac:dyDescent="0.25">
      <c r="A10" s="6" t="s">
        <v>15</v>
      </c>
      <c r="B10" s="6" t="s">
        <v>23</v>
      </c>
      <c r="C10" s="6">
        <v>8</v>
      </c>
      <c r="D10" s="6">
        <v>3</v>
      </c>
      <c r="E10" s="6">
        <f>SUMIFS(Movimientos[CANTIDAD],Movimientos[PRODUCTO],'Control de Stock'!$A10,Movimientos[MOVIMIENTO],"Entrada")</f>
        <v>0</v>
      </c>
      <c r="F10" s="6">
        <f>SUMIFS(Movimientos[CANTIDAD],Movimientos[PRODUCTO],'Control de Stock'!$A10,Movimientos[MOVIMIENTO],"Salida")</f>
        <v>0</v>
      </c>
      <c r="G10" s="6">
        <f>'Control de Stock'!$C10+'Control de Stock'!$E10-'Control de Stock'!$F10</f>
        <v>8</v>
      </c>
    </row>
    <row r="11" spans="1:7" x14ac:dyDescent="0.25">
      <c r="A11" s="7" t="s">
        <v>16</v>
      </c>
      <c r="B11" s="7" t="s">
        <v>34</v>
      </c>
      <c r="C11" s="7">
        <v>8</v>
      </c>
      <c r="D11" s="7">
        <v>3</v>
      </c>
      <c r="E11" s="6">
        <f>SUMIFS(Movimientos[CANTIDAD],Movimientos[PRODUCTO],'Control de Stock'!$A11,Movimientos[MOVIMIENTO],"Entrada")</f>
        <v>0</v>
      </c>
      <c r="F11" s="7">
        <f>SUMIFS(Movimientos[CANTIDAD],Movimientos[PRODUCTO],'Control de Stock'!$A11,Movimientos[MOVIMIENTO],"Salida")</f>
        <v>7</v>
      </c>
      <c r="G11" s="7">
        <f>'Control de Stock'!$C11+'Control de Stock'!$E11-'Control de Stock'!$F11</f>
        <v>1</v>
      </c>
    </row>
    <row r="12" spans="1:7" x14ac:dyDescent="0.25">
      <c r="A12" s="6" t="s">
        <v>17</v>
      </c>
      <c r="B12" s="6" t="s">
        <v>21</v>
      </c>
      <c r="C12" s="6">
        <v>35</v>
      </c>
      <c r="D12" s="6">
        <v>10</v>
      </c>
      <c r="E12" s="6">
        <f>SUMIFS(Movimientos[CANTIDAD],Movimientos[PRODUCTO],'Control de Stock'!$A12,Movimientos[MOVIMIENTO],"Entrada")</f>
        <v>0</v>
      </c>
      <c r="F12" s="6">
        <f>SUMIFS(Movimientos[CANTIDAD],Movimientos[PRODUCTO],'Control de Stock'!$A12,Movimientos[MOVIMIENTO],"Salida")</f>
        <v>0</v>
      </c>
      <c r="G12" s="6">
        <f>'Control de Stock'!$C12+'Control de Stock'!$E12-'Control de Stock'!$F12</f>
        <v>35</v>
      </c>
    </row>
    <row r="13" spans="1:7" x14ac:dyDescent="0.25">
      <c r="A13" s="7" t="s">
        <v>18</v>
      </c>
      <c r="B13" s="7" t="s">
        <v>25</v>
      </c>
      <c r="C13" s="7">
        <v>45</v>
      </c>
      <c r="D13" s="7">
        <v>10</v>
      </c>
      <c r="E13" s="6">
        <f>SUMIFS(Movimientos[CANTIDAD],Movimientos[PRODUCTO],'Control de Stock'!$A13,Movimientos[MOVIMIENTO],"Entrada")</f>
        <v>0</v>
      </c>
      <c r="F13" s="7">
        <f>SUMIFS(Movimientos[CANTIDAD],Movimientos[PRODUCTO],'Control de Stock'!$A13,Movimientos[MOVIMIENTO],"Salida")</f>
        <v>0</v>
      </c>
      <c r="G13" s="7">
        <f>'Control de Stock'!$C13+'Control de Stock'!$E13-'Control de Stock'!$F13</f>
        <v>45</v>
      </c>
    </row>
    <row r="14" spans="1:7" x14ac:dyDescent="0.25">
      <c r="A14" s="6" t="s">
        <v>19</v>
      </c>
      <c r="B14" s="6" t="s">
        <v>22</v>
      </c>
      <c r="C14" s="6">
        <v>20</v>
      </c>
      <c r="D14" s="6">
        <v>10</v>
      </c>
      <c r="E14" s="6">
        <f>SUMIFS(Movimientos[CANTIDAD],Movimientos[PRODUCTO],'Control de Stock'!$A14,Movimientos[MOVIMIENTO],"Entrada")</f>
        <v>0</v>
      </c>
      <c r="F14" s="6">
        <f>SUMIFS(Movimientos[CANTIDAD],Movimientos[PRODUCTO],'Control de Stock'!$A14,Movimientos[MOVIMIENTO],"Salida")</f>
        <v>0</v>
      </c>
      <c r="G14" s="6">
        <f>'Control de Stock'!$C14+'Control de Stock'!$E14-'Control de Stock'!$F14</f>
        <v>20</v>
      </c>
    </row>
    <row r="15" spans="1:7" x14ac:dyDescent="0.25">
      <c r="A15" s="7" t="s">
        <v>20</v>
      </c>
      <c r="B15" s="7" t="s">
        <v>24</v>
      </c>
      <c r="C15" s="7">
        <v>10</v>
      </c>
      <c r="D15" s="7">
        <v>5</v>
      </c>
      <c r="E15" s="6">
        <f>SUMIFS(Movimientos[CANTIDAD],Movimientos[PRODUCTO],'Control de Stock'!$A15,Movimientos[MOVIMIENTO],"Entrada")</f>
        <v>0</v>
      </c>
      <c r="F15" s="7">
        <f>SUMIFS(Movimientos[CANTIDAD],Movimientos[PRODUCTO],'Control de Stock'!$A15,Movimientos[MOVIMIENTO],"Salida")</f>
        <v>0</v>
      </c>
      <c r="G15" s="7">
        <f>'Control de Stock'!$C15+'Control de Stock'!$E15-'Control de Stock'!$F15</f>
        <v>10</v>
      </c>
    </row>
    <row r="16" spans="1:7" x14ac:dyDescent="0.25">
      <c r="A16" s="6" t="s">
        <v>45</v>
      </c>
      <c r="B16" s="6" t="s">
        <v>46</v>
      </c>
      <c r="C16" s="6">
        <v>5</v>
      </c>
      <c r="D16" s="6">
        <v>2</v>
      </c>
      <c r="E16" s="6">
        <f>SUMIFS(Movimientos[CANTIDAD],Movimientos[PRODUCTO],'Control de Stock'!$A16,Movimientos[MOVIMIENTO],"Entrada")</f>
        <v>0</v>
      </c>
      <c r="F16" s="6">
        <f>SUMIFS(Movimientos[CANTIDAD],Movimientos[PRODUCTO],'Control de Stock'!$A16,Movimientos[MOVIMIENTO],"Salida")</f>
        <v>0</v>
      </c>
      <c r="G16" s="6">
        <f>'Control de Stock'!$C16+'Control de Stock'!$E16-'Control de Stock'!$F16</f>
        <v>5</v>
      </c>
    </row>
    <row r="17" spans="1:11" x14ac:dyDescent="0.25">
      <c r="A17" s="6" t="s">
        <v>48</v>
      </c>
      <c r="B17" s="6" t="s">
        <v>49</v>
      </c>
      <c r="C17" s="6">
        <v>3</v>
      </c>
      <c r="D17" s="6">
        <v>0</v>
      </c>
      <c r="E17" s="6">
        <f>SUMIFS(Movimientos[CANTIDAD],Movimientos[PRODUCTO],'Control de Stock'!$A17,Movimientos[MOVIMIENTO],"Entrada")</f>
        <v>0</v>
      </c>
      <c r="F17" s="6">
        <f>SUMIFS(Movimientos[CANTIDAD],Movimientos[PRODUCTO],'Control de Stock'!$A17,Movimientos[MOVIMIENTO],"Salida")</f>
        <v>3</v>
      </c>
      <c r="G17" s="6">
        <f>'Control de Stock'!$C17+'Control de Stock'!$E17-'Control de Stock'!$F17</f>
        <v>0</v>
      </c>
      <c r="K17" s="5"/>
    </row>
    <row r="21" spans="1:11" x14ac:dyDescent="0.25">
      <c r="I21" s="5"/>
    </row>
  </sheetData>
  <phoneticPr fontId="2" type="noConversion"/>
  <conditionalFormatting sqref="A2:G17">
    <cfRule type="expression" dxfId="0" priority="1">
      <formula>$G2&lt;=$D2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D68B-6877-4DDD-87D5-93C67B86E6EB}">
  <sheetPr>
    <tabColor theme="9" tint="-0.499984740745262"/>
  </sheetPr>
  <dimension ref="A1:F6"/>
  <sheetViews>
    <sheetView zoomScale="140" zoomScaleNormal="140" workbookViewId="0">
      <selection activeCell="F7" sqref="F7"/>
    </sheetView>
  </sheetViews>
  <sheetFormatPr baseColWidth="10" defaultRowHeight="15" x14ac:dyDescent="0.25"/>
  <cols>
    <col min="1" max="6" width="14.7109375" customWidth="1"/>
    <col min="7" max="7" width="5.7109375" customWidth="1"/>
  </cols>
  <sheetData>
    <row r="1" spans="1:6" x14ac:dyDescent="0.25">
      <c r="A1" s="4" t="s">
        <v>35</v>
      </c>
      <c r="B1" s="4" t="s">
        <v>36</v>
      </c>
      <c r="C1" s="4" t="s">
        <v>37</v>
      </c>
      <c r="D1" s="4" t="s">
        <v>1</v>
      </c>
      <c r="E1" s="4" t="s">
        <v>38</v>
      </c>
      <c r="F1" s="4" t="s">
        <v>39</v>
      </c>
    </row>
    <row r="2" spans="1:6" x14ac:dyDescent="0.25">
      <c r="A2" s="2" t="s">
        <v>40</v>
      </c>
      <c r="B2" s="1">
        <v>43976</v>
      </c>
      <c r="C2" s="2" t="s">
        <v>16</v>
      </c>
      <c r="D2" s="2" t="str">
        <f>IFERROR(VLOOKUP(Movimientos[[#This Row],[PRODUCTO]],'Control de Stock'!$A$2:$G$19,2,0),"")</f>
        <v>Monitor HD</v>
      </c>
      <c r="E2" s="2" t="s">
        <v>41</v>
      </c>
      <c r="F2" s="3">
        <v>7</v>
      </c>
    </row>
    <row r="3" spans="1:6" x14ac:dyDescent="0.25">
      <c r="A3" s="2" t="s">
        <v>42</v>
      </c>
      <c r="B3" s="1">
        <v>43977</v>
      </c>
      <c r="C3" s="2" t="s">
        <v>8</v>
      </c>
      <c r="D3" s="2" t="str">
        <f>IFERROR(VLOOKUP(Movimientos[[#This Row],[PRODUCTO]],'Control de Stock'!$A$2:$G$19,2,0),"")</f>
        <v>Diadema USB</v>
      </c>
      <c r="E3" s="2" t="s">
        <v>41</v>
      </c>
      <c r="F3" s="3">
        <v>4</v>
      </c>
    </row>
    <row r="4" spans="1:6" x14ac:dyDescent="0.25">
      <c r="A4" s="2" t="s">
        <v>44</v>
      </c>
      <c r="B4" s="1">
        <v>43978</v>
      </c>
      <c r="C4" s="2" t="s">
        <v>8</v>
      </c>
      <c r="D4" s="2" t="str">
        <f>IFERROR(VLOOKUP(Movimientos[[#This Row],[PRODUCTO]],'Control de Stock'!$A$2:$G$19,2,0),"")</f>
        <v>Diadema USB</v>
      </c>
      <c r="E4" s="2" t="s">
        <v>43</v>
      </c>
      <c r="F4" s="3">
        <v>5</v>
      </c>
    </row>
    <row r="5" spans="1:6" x14ac:dyDescent="0.25">
      <c r="A5" s="2" t="s">
        <v>47</v>
      </c>
      <c r="B5" s="1">
        <v>43978</v>
      </c>
      <c r="C5" s="2" t="s">
        <v>9</v>
      </c>
      <c r="D5" s="9" t="str">
        <f>IFERROR(VLOOKUP(Movimientos[[#This Row],[PRODUCTO]],'Control de Stock'!$A$2:$G$19,2,0),"")</f>
        <v>Fuente 350W</v>
      </c>
      <c r="E5" s="2" t="s">
        <v>41</v>
      </c>
      <c r="F5" s="3">
        <v>11</v>
      </c>
    </row>
    <row r="6" spans="1:6" x14ac:dyDescent="0.25">
      <c r="A6" s="2" t="s">
        <v>50</v>
      </c>
      <c r="B6" s="1">
        <v>44006</v>
      </c>
      <c r="C6" s="2" t="s">
        <v>48</v>
      </c>
      <c r="D6" s="9" t="str">
        <f>IFERROR(VLOOKUP(Movimientos[[#This Row],[PRODUCTO]],'Control de Stock'!$A$2:$G$19,2,0),"")</f>
        <v>Luz Led</v>
      </c>
      <c r="E6" s="2" t="s">
        <v>41</v>
      </c>
      <c r="F6" s="3">
        <v>3</v>
      </c>
    </row>
  </sheetData>
  <phoneticPr fontId="2" type="noConversion"/>
  <dataValidations count="1">
    <dataValidation type="list" allowBlank="1" showInputMessage="1" showErrorMessage="1" sqref="E2:E8" xr:uid="{7AC62871-11F7-4126-AC6C-1BFCC27974B2}">
      <formula1>"Entrada,Salida"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34921F-A02B-4456-B0A9-29D99C0F2E5D}">
          <x14:formula1>
            <xm:f>'Control de Stock'!$A$2:$A21</xm:f>
          </x14:formula1>
          <xm:sqref>C7:C8</xm:sqref>
        </x14:dataValidation>
        <x14:dataValidation type="list" allowBlank="1" showInputMessage="1" showErrorMessage="1" xr:uid="{E465D083-F671-4AD6-AD2B-9542B2114A97}">
          <x14:formula1>
            <xm:f>'Control de Stock'!$A$2:$A19</xm:f>
          </x14:formula1>
          <xm:sqref>C3:C6</xm:sqref>
        </x14:dataValidation>
        <x14:dataValidation type="list" allowBlank="1" showInputMessage="1" showErrorMessage="1" xr:uid="{712B152E-93C9-4F76-B776-3B9C49A889E8}">
          <x14:formula1>
            <xm:f>'Control de Stock'!$A$2:$A19</xm:f>
          </x14:formula1>
          <xm:sqref>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224152-0AEE-4557-8FD2-167BD7408D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Control de Stock</vt:lpstr>
      <vt:lpstr>Movimientos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Rojas Moncada</dc:creator>
  <cp:lastModifiedBy>franco giovannone</cp:lastModifiedBy>
  <dcterms:created xsi:type="dcterms:W3CDTF">2020-10-19T16:18:23Z</dcterms:created>
  <dcterms:modified xsi:type="dcterms:W3CDTF">2024-02-08T17:47:59Z</dcterms:modified>
</cp:coreProperties>
</file>